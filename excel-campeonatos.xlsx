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aragon\www\deportazo\"/>
    </mc:Choice>
  </mc:AlternateContent>
  <xr:revisionPtr revIDLastSave="0" documentId="13_ncr:1_{6429F56D-3F4B-4DDA-BD23-CC7EED23A96C}" xr6:coauthVersionLast="47" xr6:coauthVersionMax="47" xr10:uidLastSave="{00000000-0000-0000-0000-000000000000}"/>
  <bookViews>
    <workbookView xWindow="-108" yWindow="-108" windowWidth="23256" windowHeight="12456" xr2:uid="{6AAC4C82-243A-49E8-898B-368379F134C3}"/>
  </bookViews>
  <sheets>
    <sheet name="SORTEO CORAZÓN LATINO V" sheetId="1" r:id="rId1"/>
    <sheet name="LIS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7" i="1" l="1"/>
  <c r="E18" i="1" s="1"/>
  <c r="E19" i="1" s="1"/>
  <c r="D22" i="1"/>
  <c r="E4" i="1"/>
  <c r="E5" i="1" s="1"/>
  <c r="E6" i="1" s="1"/>
  <c r="E7" i="1" s="1"/>
  <c r="E8" i="1" s="1"/>
  <c r="E9" i="1" s="1"/>
  <c r="E10" i="1" s="1"/>
  <c r="E11" i="1" s="1"/>
  <c r="E12" i="1" s="1"/>
  <c r="E13" i="1" s="1"/>
  <c r="E14" i="1" s="1"/>
  <c r="C4" i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2" i="1" l="1"/>
</calcChain>
</file>

<file path=xl/sharedStrings.xml><?xml version="1.0" encoding="utf-8"?>
<sst xmlns="http://schemas.openxmlformats.org/spreadsheetml/2006/main" count="116" uniqueCount="72">
  <si>
    <t>EQUIPO1</t>
  </si>
  <si>
    <t>EQUIPO3</t>
  </si>
  <si>
    <t>EQUIPO4</t>
  </si>
  <si>
    <t>EQUIPO2</t>
  </si>
  <si>
    <t>COLOR</t>
  </si>
  <si>
    <t>ROSMERY</t>
  </si>
  <si>
    <t>YAMILETH</t>
  </si>
  <si>
    <t>JOEL</t>
  </si>
  <si>
    <t>FRANCO</t>
  </si>
  <si>
    <t>MARIA</t>
  </si>
  <si>
    <t>ABEL</t>
  </si>
  <si>
    <t>CARLES</t>
  </si>
  <si>
    <t>JUAN</t>
  </si>
  <si>
    <t>JEIK</t>
  </si>
  <si>
    <t>JAIME</t>
  </si>
  <si>
    <t>ALEJANDRO</t>
  </si>
  <si>
    <t>ANDERSON</t>
  </si>
  <si>
    <t>HENRY</t>
  </si>
  <si>
    <t>WILDER</t>
  </si>
  <si>
    <t>EMILIO</t>
  </si>
  <si>
    <t>DUDU</t>
  </si>
  <si>
    <t>NUEVOS</t>
  </si>
  <si>
    <t>ABIGAIL</t>
  </si>
  <si>
    <t>EUNISE</t>
  </si>
  <si>
    <t>JESSICA</t>
  </si>
  <si>
    <t>LESLY</t>
  </si>
  <si>
    <t>NENDO</t>
  </si>
  <si>
    <t>NICOLE</t>
  </si>
  <si>
    <t>SARA</t>
  </si>
  <si>
    <t>YEAN POOL</t>
  </si>
  <si>
    <t>JORGE</t>
  </si>
  <si>
    <t>ERIKA</t>
  </si>
  <si>
    <t>CRISTOFER</t>
  </si>
  <si>
    <t>JOSUE SAMURAI</t>
  </si>
  <si>
    <t>JOSUE MOLE</t>
  </si>
  <si>
    <t>MARILUZ</t>
  </si>
  <si>
    <t>MAYER</t>
  </si>
  <si>
    <t>SADITH</t>
  </si>
  <si>
    <t>SULI</t>
  </si>
  <si>
    <t>YORDI</t>
  </si>
  <si>
    <t>ALCIDES</t>
  </si>
  <si>
    <t>MILUSCA</t>
  </si>
  <si>
    <t>SERGIO</t>
  </si>
  <si>
    <t>SILVIA</t>
  </si>
  <si>
    <t>#</t>
  </si>
  <si>
    <t>JOOSE</t>
  </si>
  <si>
    <t>TOTAL</t>
  </si>
  <si>
    <t>SUSAN</t>
  </si>
  <si>
    <t>EQUIPO5</t>
  </si>
  <si>
    <t>EQUIPO6</t>
  </si>
  <si>
    <t>EQUIPO7</t>
  </si>
  <si>
    <t>EQUIPO8</t>
  </si>
  <si>
    <t>ZERGY</t>
  </si>
  <si>
    <t>LUIS</t>
  </si>
  <si>
    <t>CORAZON LATINO</t>
  </si>
  <si>
    <t>SORTEO CORAZÓN LATINO -FIN DE AÑO- EQUIPOS</t>
  </si>
  <si>
    <t>SORTEO CORAZÓN LATINO -FIN DE AÑO - EQUIPOS</t>
  </si>
  <si>
    <t>MIEMBROS</t>
  </si>
  <si>
    <t>RONALD</t>
  </si>
  <si>
    <t>FRANCO2</t>
  </si>
  <si>
    <t>HUGO</t>
  </si>
  <si>
    <t>LEO</t>
  </si>
  <si>
    <t>CONFIRMADOS</t>
  </si>
  <si>
    <t>INVITADOS</t>
  </si>
  <si>
    <t>MARCELO</t>
  </si>
  <si>
    <t>GRIS</t>
  </si>
  <si>
    <t>ROJO</t>
  </si>
  <si>
    <t>ANDER</t>
  </si>
  <si>
    <t>VERDE</t>
  </si>
  <si>
    <t>NEGRO</t>
  </si>
  <si>
    <t>BLANCO</t>
  </si>
  <si>
    <t>AZUL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</si>
</sst>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22"/>
      <color theme="1"/>
      <name val="Aptos Narrow"/>
      <family val="2"/>
      <scheme val="minor"/>
    </font>
    <font>
      <b/>
      <sz val="22"/>
      <color theme="1"/>
      <name val="Aptos Narrow"/>
      <family val="2"/>
      <scheme val="minor"/>
    </font>
    <font>
      <sz val="36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26"/>
      <color theme="1"/>
      <name val="Aptos Narrow"/>
      <family val="2"/>
      <scheme val="minor"/>
    </font>
    <font>
      <sz val="26"/>
      <color theme="1"/>
      <name val="Aptos Narrow"/>
      <family val="2"/>
      <scheme val="minor"/>
    </font>
    <font>
      <b/>
      <sz val="36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00B050"/>
        <bgColor indexed="64"/>
      </patternFill>
    </fill>
  </fills>
  <borders count="30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theme="1"/>
      </left>
      <right/>
      <top style="thin">
        <color indexed="64"/>
      </top>
      <bottom style="thin">
        <color indexed="64"/>
      </bottom>
      <diagonal/>
    </border>
    <border>
      <left style="medium">
        <color theme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theme="1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theme="0"/>
      </bottom>
      <diagonal/>
    </border>
    <border>
      <left/>
      <right style="thin">
        <color theme="1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/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 style="thick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2" fillId="2" borderId="1" xfId="0" applyFont="1" applyFill="1" applyBorder="1" applyAlignment="1">
      <alignment horizontal="left"/>
    </xf>
    <xf numFmtId="1" fontId="3" fillId="2" borderId="2" xfId="0" applyNumberFormat="1" applyFont="1" applyFill="1" applyBorder="1" applyAlignment="1">
      <alignment horizontal="center"/>
    </xf>
    <xf numFmtId="1" fontId="3" fillId="2" borderId="5" xfId="0" applyNumberFormat="1" applyFont="1" applyFill="1" applyBorder="1" applyAlignment="1">
      <alignment horizontal="center"/>
    </xf>
    <xf numFmtId="0" fontId="1" fillId="0" borderId="6" xfId="0" applyFont="1" applyBorder="1"/>
    <xf numFmtId="0" fontId="1" fillId="0" borderId="8" xfId="0" applyFont="1" applyBorder="1"/>
    <xf numFmtId="0" fontId="1" fillId="0" borderId="9" xfId="0" applyFont="1" applyBorder="1"/>
    <xf numFmtId="0" fontId="1" fillId="0" borderId="5" xfId="0" applyFont="1" applyBorder="1"/>
    <xf numFmtId="1" fontId="3" fillId="2" borderId="12" xfId="0" applyNumberFormat="1" applyFont="1" applyFill="1" applyBorder="1" applyAlignment="1">
      <alignment horizontal="center"/>
    </xf>
    <xf numFmtId="0" fontId="3" fillId="2" borderId="1" xfId="0" applyFont="1" applyFill="1" applyBorder="1" applyAlignment="1">
      <alignment horizontal="left"/>
    </xf>
    <xf numFmtId="0" fontId="1" fillId="0" borderId="2" xfId="0" applyFont="1" applyBorder="1"/>
    <xf numFmtId="0" fontId="2" fillId="2" borderId="13" xfId="0" applyFont="1" applyFill="1" applyBorder="1" applyAlignment="1">
      <alignment horizontal="left"/>
    </xf>
    <xf numFmtId="0" fontId="7" fillId="0" borderId="0" xfId="0" applyFont="1" applyAlignment="1">
      <alignment vertical="center"/>
    </xf>
    <xf numFmtId="0" fontId="2" fillId="2" borderId="13" xfId="0" applyFont="1" applyFill="1" applyBorder="1" applyAlignment="1">
      <alignment horizontal="center"/>
    </xf>
    <xf numFmtId="0" fontId="1" fillId="2" borderId="2" xfId="0" applyFont="1" applyFill="1" applyBorder="1"/>
    <xf numFmtId="0" fontId="0" fillId="0" borderId="4" xfId="0" applyBorder="1"/>
    <xf numFmtId="1" fontId="3" fillId="2" borderId="18" xfId="0" applyNumberFormat="1" applyFont="1" applyFill="1" applyBorder="1" applyAlignment="1">
      <alignment horizontal="center"/>
    </xf>
    <xf numFmtId="1" fontId="3" fillId="2" borderId="8" xfId="0" applyNumberFormat="1" applyFont="1" applyFill="1" applyBorder="1" applyAlignment="1">
      <alignment horizontal="center"/>
    </xf>
    <xf numFmtId="0" fontId="0" fillId="0" borderId="6" xfId="0" applyBorder="1"/>
    <xf numFmtId="1" fontId="3" fillId="2" borderId="7" xfId="0" applyNumberFormat="1" applyFont="1" applyFill="1" applyBorder="1" applyAlignment="1">
      <alignment horizontal="center"/>
    </xf>
    <xf numFmtId="1" fontId="3" fillId="2" borderId="3" xfId="0" applyNumberFormat="1" applyFont="1" applyFill="1" applyBorder="1" applyAlignment="1">
      <alignment horizontal="center"/>
    </xf>
    <xf numFmtId="0" fontId="1" fillId="0" borderId="20" xfId="0" applyFont="1" applyBorder="1"/>
    <xf numFmtId="0" fontId="1" fillId="0" borderId="21" xfId="0" applyFont="1" applyBorder="1"/>
    <xf numFmtId="0" fontId="2" fillId="2" borderId="23" xfId="0" applyFont="1" applyFill="1" applyBorder="1"/>
    <xf numFmtId="0" fontId="2" fillId="2" borderId="24" xfId="0" applyFont="1" applyFill="1" applyBorder="1"/>
    <xf numFmtId="0" fontId="3" fillId="2" borderId="25" xfId="0" applyFont="1" applyFill="1" applyBorder="1" applyAlignment="1">
      <alignment horizontal="center"/>
    </xf>
    <xf numFmtId="0" fontId="1" fillId="2" borderId="26" xfId="0" applyFont="1" applyFill="1" applyBorder="1"/>
    <xf numFmtId="0" fontId="1" fillId="0" borderId="19" xfId="0" applyFont="1" applyBorder="1"/>
    <xf numFmtId="0" fontId="1" fillId="0" borderId="3" xfId="0" applyFont="1" applyBorder="1"/>
    <xf numFmtId="0" fontId="2" fillId="2" borderId="2" xfId="0" applyFont="1" applyFill="1" applyBorder="1" applyAlignment="1">
      <alignment horizontal="left"/>
    </xf>
    <xf numFmtId="0" fontId="2" fillId="2" borderId="2" xfId="0" applyFont="1" applyFill="1" applyBorder="1" applyAlignment="1">
      <alignment horizontal="center"/>
    </xf>
    <xf numFmtId="0" fontId="1" fillId="2" borderId="27" xfId="0" applyFont="1" applyFill="1" applyBorder="1"/>
    <xf numFmtId="0" fontId="1" fillId="2" borderId="22" xfId="0" applyFont="1" applyFill="1" applyBorder="1"/>
    <xf numFmtId="0" fontId="1" fillId="2" borderId="29" xfId="0" applyFont="1" applyFill="1" applyBorder="1"/>
    <xf numFmtId="0" fontId="3" fillId="3" borderId="28" xfId="0" applyFont="1" applyFill="1" applyBorder="1" applyAlignment="1">
      <alignment horizontal="center"/>
    </xf>
    <xf numFmtId="0" fontId="3" fillId="3" borderId="0" xfId="0" applyFont="1" applyFill="1" applyAlignment="1">
      <alignment horizontal="center"/>
    </xf>
    <xf numFmtId="0" fontId="3" fillId="2" borderId="11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 vertical="center"/>
    </xf>
    <xf numFmtId="0" fontId="6" fillId="2" borderId="17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6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8" fillId="4" borderId="0" xfId="0" applyFont="1" applyFill="1" applyAlignment="1">
      <alignment horizontal="center" vertical="center"/>
    </xf>
    <xf numFmtId="0" fontId="8" fillId="4" borderId="6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/>
    </xf>
    <xf numFmtId="1" fontId="4" fillId="0" borderId="4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6" fillId="2" borderId="14" xfId="0" applyFont="1" applyFill="1" applyBorder="1" applyAlignment="1">
      <alignment horizontal="center" vertical="center"/>
    </xf>
    <xf numFmtId="0" fontId="6" fillId="2" borderId="15" xfId="0" applyFont="1" applyFill="1" applyBorder="1" applyAlignment="1">
      <alignment horizontal="center" vertical="center"/>
    </xf>
    <xf numFmtId="0" fontId="6" fillId="2" borderId="16" xfId="0" applyFont="1" applyFill="1" applyBorder="1" applyAlignment="1">
      <alignment horizontal="center" vertical="center"/>
    </xf>
  </cellXfs>
  <cellStyles count="1">
    <cellStyle name="Normal" xfId="0" builtinId="0"/>
  </cellStyles>
  <dxfs count="2">
    <dxf>
      <fill>
        <patternFill>
          <bgColor theme="3" tint="0.499984740745262"/>
        </patternFill>
      </fill>
    </dxf>
    <dxf>
      <fill>
        <patternFill>
          <bgColor theme="6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1254781</xdr:colOff>
      <xdr:row>22</xdr:row>
      <xdr:rowOff>375307</xdr:rowOff>
    </xdr:from>
    <xdr:to>
      <xdr:col>4</xdr:col>
      <xdr:colOff>107813</xdr:colOff>
      <xdr:row>31</xdr:row>
      <xdr:rowOff>36299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1C33A011-6F5E-438F-4646-AFD0BE0573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3881" y="8795407"/>
          <a:ext cx="2320132" cy="2251792"/>
        </a:xfrm>
        <a:prstGeom prst="rect">
          <a:avLst/>
        </a:prstGeom>
      </xdr:spPr>
    </xdr:pic>
    <xdr:clientData/>
  </xdr:twoCellAnchor>
  <xdr:twoCellAnchor editAs="oneCell">
    <xdr:from>
      <xdr:col>6</xdr:col>
      <xdr:colOff>301381</xdr:colOff>
      <xdr:row>5</xdr:row>
      <xdr:rowOff>251654</xdr:rowOff>
    </xdr:from>
    <xdr:to>
      <xdr:col>8</xdr:col>
      <xdr:colOff>961035</xdr:colOff>
      <xdr:row>12</xdr:row>
      <xdr:rowOff>109442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672B616-3CD7-4DE2-83FA-0CB5DF17A8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35119" y="2487687"/>
          <a:ext cx="2470965" cy="2506050"/>
        </a:xfrm>
        <a:prstGeom prst="roundRect">
          <a:avLst>
            <a:gd name="adj" fmla="val 4167"/>
          </a:avLst>
        </a:prstGeom>
        <a:solidFill>
          <a:srgbClr val="FFFFFF"/>
        </a:solidFill>
        <a:ln w="76200" cap="sq">
          <a:solidFill>
            <a:srgbClr val="EAEAEA"/>
          </a:solidFill>
          <a:miter lim="800000"/>
        </a:ln>
        <a:effectLst>
          <a:reflection blurRad="12700" stA="33000" endPos="28000" dist="5000" dir="5400000" sy="-100000" algn="bl" rotWithShape="0"/>
        </a:effectLst>
        <a:scene3d>
          <a:camera prst="orthographicFront"/>
          <a:lightRig rig="threePt" dir="t">
            <a:rot lat="0" lon="0" rev="2700000"/>
          </a:lightRig>
        </a:scene3d>
        <a:sp3d contourW="6350">
          <a:bevelT h="38100"/>
          <a:contourClr>
            <a:srgbClr val="C0C0C0"/>
          </a:contourClr>
        </a:sp3d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195909</xdr:colOff>
      <xdr:row>0</xdr:row>
      <xdr:rowOff>269158</xdr:rowOff>
    </xdr:from>
    <xdr:ext cx="2471174" cy="2467283"/>
    <xdr:pic>
      <xdr:nvPicPr>
        <xdr:cNvPr id="2" name="Imagen 1">
          <a:extLst>
            <a:ext uri="{FF2B5EF4-FFF2-40B4-BE49-F238E27FC236}">
              <a16:creationId xmlns:a16="http://schemas.microsoft.com/office/drawing/2014/main" id="{B6024C36-5B3A-45A0-BA06-1B3BE719D7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13389" y="269158"/>
          <a:ext cx="2471174" cy="2467283"/>
        </a:xfrm>
        <a:prstGeom prst="roundRect">
          <a:avLst>
            <a:gd name="adj" fmla="val 4167"/>
          </a:avLst>
        </a:prstGeom>
        <a:solidFill>
          <a:srgbClr val="FFFFFF"/>
        </a:solidFill>
        <a:ln w="76200" cap="sq">
          <a:solidFill>
            <a:srgbClr val="EAEAEA"/>
          </a:solidFill>
          <a:miter lim="800000"/>
        </a:ln>
        <a:effectLst>
          <a:reflection blurRad="12700" stA="33000" endPos="28000" dist="5000" dir="5400000" sy="-100000" algn="bl" rotWithShape="0"/>
        </a:effectLst>
        <a:scene3d>
          <a:camera prst="orthographicFront"/>
          <a:lightRig rig="threePt" dir="t">
            <a:rot lat="0" lon="0" rev="2700000"/>
          </a:lightRig>
        </a:scene3d>
        <a:sp3d contourW="6350">
          <a:bevelT h="38100"/>
          <a:contourClr>
            <a:srgbClr val="C0C0C0"/>
          </a:contourClr>
        </a:sp3d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F3C9C-41F7-41C6-802A-201A8A1CCF1E}">
  <dimension ref="A1:P31"/>
  <sheetViews>
    <sheetView tabSelected="1" zoomScale="61" workbookViewId="0">
      <selection activeCell="N10" sqref="N10"/>
    </sheetView>
  </sheetViews>
  <sheetFormatPr baseColWidth="10" defaultRowHeight="14.4" x14ac:dyDescent="0.3"/>
  <cols>
    <col min="1" max="1" width="6.109375" bestFit="1" customWidth="1"/>
    <col min="2" max="2" width="23.77734375" bestFit="1" customWidth="1"/>
    <col min="3" max="3" width="6.109375" bestFit="1" customWidth="1"/>
    <col min="4" max="4" width="20.6640625" bestFit="1" customWidth="1"/>
    <col min="5" max="5" width="6.109375" bestFit="1" customWidth="1"/>
    <col min="6" max="6" width="20.6640625" customWidth="1"/>
    <col min="7" max="7" width="9.21875" customWidth="1"/>
    <col min="8" max="8" width="17.109375" bestFit="1" customWidth="1"/>
    <col min="9" max="9" width="16.44140625" customWidth="1"/>
    <col min="10" max="10" width="17.109375" bestFit="1" customWidth="1"/>
    <col min="11" max="16" width="29" customWidth="1"/>
    <col min="17" max="20" width="17.109375" bestFit="1" customWidth="1"/>
  </cols>
  <sheetData>
    <row r="1" spans="1:16" ht="60.6" customHeight="1" x14ac:dyDescent="0.3">
      <c r="A1" s="40" t="s">
        <v>54</v>
      </c>
      <c r="B1" s="41"/>
      <c r="C1" s="41"/>
      <c r="D1" s="41"/>
      <c r="E1" s="41"/>
      <c r="F1" s="42"/>
      <c r="G1" s="12"/>
    </row>
    <row r="2" spans="1:16" ht="28.8" x14ac:dyDescent="0.55000000000000004">
      <c r="A2" s="38" t="s">
        <v>57</v>
      </c>
      <c r="B2" s="39"/>
      <c r="C2" s="39"/>
      <c r="D2" s="37"/>
      <c r="E2" s="36" t="s">
        <v>21</v>
      </c>
      <c r="F2" s="37"/>
    </row>
    <row r="3" spans="1:16" ht="28.8" x14ac:dyDescent="0.55000000000000004">
      <c r="A3" s="3">
        <v>1</v>
      </c>
      <c r="B3" s="4" t="s">
        <v>30</v>
      </c>
      <c r="C3" s="3">
        <v>18</v>
      </c>
      <c r="D3" s="4" t="s">
        <v>36</v>
      </c>
      <c r="E3" s="8">
        <v>35</v>
      </c>
      <c r="F3" s="6" t="s">
        <v>22</v>
      </c>
    </row>
    <row r="4" spans="1:16" ht="28.8" x14ac:dyDescent="0.55000000000000004">
      <c r="A4" s="2">
        <f>A3+1</f>
        <v>2</v>
      </c>
      <c r="B4" s="4" t="s">
        <v>31</v>
      </c>
      <c r="C4" s="2">
        <f>C3+1</f>
        <v>19</v>
      </c>
      <c r="D4" s="4" t="s">
        <v>5</v>
      </c>
      <c r="E4" s="8">
        <f>E3+1</f>
        <v>36</v>
      </c>
      <c r="F4" s="6" t="s">
        <v>23</v>
      </c>
    </row>
    <row r="5" spans="1:16" ht="28.8" x14ac:dyDescent="0.55000000000000004">
      <c r="A5" s="2">
        <f t="shared" ref="A5:C19" si="0">A4+1</f>
        <v>3</v>
      </c>
      <c r="B5" s="4" t="s">
        <v>13</v>
      </c>
      <c r="C5" s="2">
        <f t="shared" si="0"/>
        <v>20</v>
      </c>
      <c r="D5" s="4" t="s">
        <v>37</v>
      </c>
      <c r="E5" s="8">
        <f t="shared" ref="E5:E14" si="1">E4+1</f>
        <v>37</v>
      </c>
      <c r="F5" s="6" t="s">
        <v>24</v>
      </c>
    </row>
    <row r="6" spans="1:16" ht="28.8" x14ac:dyDescent="0.55000000000000004">
      <c r="A6" s="2">
        <f t="shared" si="0"/>
        <v>4</v>
      </c>
      <c r="B6" s="4" t="s">
        <v>10</v>
      </c>
      <c r="C6" s="2">
        <f t="shared" si="0"/>
        <v>21</v>
      </c>
      <c r="D6" s="4" t="s">
        <v>38</v>
      </c>
      <c r="E6" s="8">
        <f t="shared" si="1"/>
        <v>38</v>
      </c>
      <c r="F6" s="6" t="s">
        <v>25</v>
      </c>
      <c r="J6" s="34" t="s">
        <v>56</v>
      </c>
      <c r="K6" s="35"/>
      <c r="L6" s="35"/>
      <c r="M6" s="35"/>
      <c r="N6" s="35"/>
      <c r="O6" s="35"/>
      <c r="P6" s="35"/>
    </row>
    <row r="7" spans="1:16" ht="28.8" x14ac:dyDescent="0.55000000000000004">
      <c r="A7" s="2">
        <f t="shared" si="0"/>
        <v>5</v>
      </c>
      <c r="B7" s="4" t="s">
        <v>15</v>
      </c>
      <c r="C7" s="2">
        <f t="shared" si="0"/>
        <v>22</v>
      </c>
      <c r="D7" s="4" t="s">
        <v>40</v>
      </c>
      <c r="E7" s="8">
        <f t="shared" si="1"/>
        <v>39</v>
      </c>
      <c r="F7" s="6" t="s">
        <v>26</v>
      </c>
      <c r="J7" s="30" t="s">
        <v>44</v>
      </c>
      <c r="K7" s="29" t="s">
        <v>0</v>
      </c>
      <c r="L7" s="29" t="s">
        <v>3</v>
      </c>
      <c r="M7" s="29" t="s">
        <v>1</v>
      </c>
      <c r="N7" s="29" t="s">
        <v>2</v>
      </c>
      <c r="O7" s="29" t="s">
        <v>48</v>
      </c>
      <c r="P7" s="29" t="s">
        <v>49</v>
      </c>
    </row>
    <row r="8" spans="1:16" ht="29.4" thickBot="1" x14ac:dyDescent="0.6">
      <c r="A8" s="2">
        <f t="shared" si="0"/>
        <v>6</v>
      </c>
      <c r="B8" s="4" t="s">
        <v>16</v>
      </c>
      <c r="C8" s="2">
        <f t="shared" si="0"/>
        <v>23</v>
      </c>
      <c r="D8" s="4" t="s">
        <v>17</v>
      </c>
      <c r="E8" s="8">
        <f t="shared" si="1"/>
        <v>40</v>
      </c>
      <c r="F8" s="6" t="s">
        <v>53</v>
      </c>
      <c r="J8" s="23">
        <v>1</v>
      </c>
      <c r="K8" s="7" t="s">
        <v>61</v>
      </c>
      <c r="L8" s="7" t="s">
        <v>13</v>
      </c>
      <c r="M8" s="7" t="s">
        <v>67</v>
      </c>
      <c r="N8" s="27" t="s">
        <v>40</v>
      </c>
      <c r="O8" s="7" t="s">
        <v>10</v>
      </c>
      <c r="P8" s="7" t="s">
        <v>19</v>
      </c>
    </row>
    <row r="9" spans="1:16" ht="30" thickTop="1" thickBot="1" x14ac:dyDescent="0.6">
      <c r="A9" s="2">
        <f t="shared" si="0"/>
        <v>7</v>
      </c>
      <c r="B9" s="4" t="s">
        <v>8</v>
      </c>
      <c r="C9" s="2">
        <f t="shared" si="0"/>
        <v>24</v>
      </c>
      <c r="D9" s="4" t="s">
        <v>14</v>
      </c>
      <c r="E9" s="8">
        <f t="shared" si="1"/>
        <v>41</v>
      </c>
      <c r="F9" s="6" t="s">
        <v>27</v>
      </c>
      <c r="J9" s="24">
        <v>2</v>
      </c>
      <c r="K9" s="10" t="s">
        <v>45</v>
      </c>
      <c r="L9" s="10" t="s">
        <v>58</v>
      </c>
      <c r="M9" s="10" t="s">
        <v>7</v>
      </c>
      <c r="N9" s="28" t="s">
        <v>59</v>
      </c>
      <c r="O9" s="7" t="s">
        <v>30</v>
      </c>
      <c r="P9" s="7" t="s">
        <v>36</v>
      </c>
    </row>
    <row r="10" spans="1:16" ht="30" thickTop="1" thickBot="1" x14ac:dyDescent="0.6">
      <c r="A10" s="2">
        <f t="shared" si="0"/>
        <v>8</v>
      </c>
      <c r="B10" s="4" t="s">
        <v>11</v>
      </c>
      <c r="C10" s="2">
        <f t="shared" si="0"/>
        <v>25</v>
      </c>
      <c r="D10" s="4" t="s">
        <v>7</v>
      </c>
      <c r="E10" s="8">
        <f t="shared" si="1"/>
        <v>42</v>
      </c>
      <c r="F10" s="6" t="s">
        <v>28</v>
      </c>
      <c r="J10" s="24">
        <v>3</v>
      </c>
      <c r="K10" s="10" t="s">
        <v>64</v>
      </c>
      <c r="L10" s="10" t="s">
        <v>18</v>
      </c>
      <c r="M10" s="10" t="s">
        <v>17</v>
      </c>
      <c r="N10" s="28" t="s">
        <v>8</v>
      </c>
      <c r="O10" s="7" t="s">
        <v>5</v>
      </c>
      <c r="P10" s="7" t="s">
        <v>25</v>
      </c>
    </row>
    <row r="11" spans="1:16" ht="30" thickTop="1" thickBot="1" x14ac:dyDescent="0.6">
      <c r="A11" s="2">
        <f t="shared" si="0"/>
        <v>9</v>
      </c>
      <c r="B11" s="4" t="s">
        <v>32</v>
      </c>
      <c r="C11" s="2">
        <f t="shared" si="0"/>
        <v>26</v>
      </c>
      <c r="D11" s="4" t="s">
        <v>41</v>
      </c>
      <c r="E11" s="16">
        <f t="shared" si="1"/>
        <v>43</v>
      </c>
      <c r="F11" s="6" t="s">
        <v>29</v>
      </c>
      <c r="J11" s="24">
        <v>4</v>
      </c>
      <c r="K11" s="10" t="s">
        <v>31</v>
      </c>
      <c r="L11" s="10" t="s">
        <v>35</v>
      </c>
      <c r="M11" s="10" t="s">
        <v>11</v>
      </c>
      <c r="N11" s="28" t="s">
        <v>29</v>
      </c>
      <c r="O11" s="7" t="s">
        <v>38</v>
      </c>
      <c r="P11" s="7" t="s">
        <v>53</v>
      </c>
    </row>
    <row r="12" spans="1:16" ht="30" thickTop="1" thickBot="1" x14ac:dyDescent="0.6">
      <c r="A12" s="2">
        <f t="shared" si="0"/>
        <v>10</v>
      </c>
      <c r="B12" s="4" t="s">
        <v>20</v>
      </c>
      <c r="C12" s="2">
        <f t="shared" si="0"/>
        <v>27</v>
      </c>
      <c r="D12" s="4" t="s">
        <v>42</v>
      </c>
      <c r="E12" s="17">
        <f t="shared" si="1"/>
        <v>44</v>
      </c>
      <c r="F12" s="6" t="s">
        <v>58</v>
      </c>
      <c r="J12" s="24">
        <v>5</v>
      </c>
      <c r="K12" s="10" t="s">
        <v>15</v>
      </c>
      <c r="L12" s="10" t="s">
        <v>60</v>
      </c>
      <c r="M12" s="10" t="s">
        <v>34</v>
      </c>
      <c r="N12" s="28" t="s">
        <v>23</v>
      </c>
      <c r="O12" s="7" t="s">
        <v>14</v>
      </c>
      <c r="P12" s="7" t="s">
        <v>52</v>
      </c>
    </row>
    <row r="13" spans="1:16" ht="30" thickTop="1" thickBot="1" x14ac:dyDescent="0.6">
      <c r="A13" s="2">
        <f t="shared" si="0"/>
        <v>11</v>
      </c>
      <c r="B13" s="4" t="s">
        <v>19</v>
      </c>
      <c r="C13" s="2">
        <f t="shared" si="0"/>
        <v>28</v>
      </c>
      <c r="D13" s="4" t="s">
        <v>52</v>
      </c>
      <c r="E13" s="19">
        <f t="shared" si="1"/>
        <v>45</v>
      </c>
      <c r="F13" s="4" t="s">
        <v>59</v>
      </c>
      <c r="J13" s="24">
        <v>6</v>
      </c>
      <c r="K13" s="10" t="s">
        <v>41</v>
      </c>
      <c r="L13" s="10" t="s">
        <v>43</v>
      </c>
      <c r="M13" s="10" t="s">
        <v>47</v>
      </c>
      <c r="N13" s="28" t="s">
        <v>39</v>
      </c>
      <c r="O13" s="7" t="s">
        <v>9</v>
      </c>
      <c r="P13" s="7" t="s">
        <v>22</v>
      </c>
    </row>
    <row r="14" spans="1:16" ht="30" thickTop="1" thickBot="1" x14ac:dyDescent="0.6">
      <c r="A14" s="2">
        <f t="shared" si="0"/>
        <v>12</v>
      </c>
      <c r="B14" s="4" t="s">
        <v>33</v>
      </c>
      <c r="C14" s="2">
        <f t="shared" si="0"/>
        <v>29</v>
      </c>
      <c r="D14" s="4" t="s">
        <v>43</v>
      </c>
      <c r="E14" s="19">
        <f t="shared" si="1"/>
        <v>46</v>
      </c>
      <c r="F14" s="4" t="s">
        <v>60</v>
      </c>
      <c r="J14" s="25" t="s">
        <v>4</v>
      </c>
      <c r="K14" s="26" t="s">
        <v>65</v>
      </c>
      <c r="L14" s="26" t="s">
        <v>66</v>
      </c>
      <c r="M14" s="26" t="s">
        <v>68</v>
      </c>
      <c r="N14" s="31" t="s">
        <v>69</v>
      </c>
      <c r="O14" s="33" t="s">
        <v>70</v>
      </c>
      <c r="P14" s="32" t="s">
        <v>71</v>
      </c>
    </row>
    <row r="15" spans="1:16" ht="28.8" x14ac:dyDescent="0.55000000000000004">
      <c r="A15" s="2">
        <f t="shared" si="0"/>
        <v>13</v>
      </c>
      <c r="B15" s="4" t="s">
        <v>34</v>
      </c>
      <c r="C15" s="2">
        <f t="shared" si="0"/>
        <v>30</v>
      </c>
      <c r="D15" s="4" t="s">
        <v>18</v>
      </c>
      <c r="E15" s="36" t="s">
        <v>63</v>
      </c>
      <c r="F15" s="37"/>
    </row>
    <row r="16" spans="1:16" ht="28.8" x14ac:dyDescent="0.55000000000000004">
      <c r="A16" s="2">
        <f t="shared" si="0"/>
        <v>14</v>
      </c>
      <c r="B16" s="4" t="s">
        <v>12</v>
      </c>
      <c r="C16" s="2">
        <f t="shared" si="0"/>
        <v>31</v>
      </c>
      <c r="D16" s="4" t="s">
        <v>6</v>
      </c>
      <c r="E16" s="8">
        <v>1</v>
      </c>
      <c r="F16" s="4" t="s">
        <v>64</v>
      </c>
    </row>
    <row r="17" spans="1:6" ht="28.8" x14ac:dyDescent="0.55000000000000004">
      <c r="A17" s="2">
        <f t="shared" si="0"/>
        <v>15</v>
      </c>
      <c r="B17" s="4" t="s">
        <v>9</v>
      </c>
      <c r="C17" s="2">
        <f t="shared" si="0"/>
        <v>32</v>
      </c>
      <c r="D17" s="4" t="s">
        <v>39</v>
      </c>
      <c r="E17" s="8">
        <f t="shared" ref="E17:E19" si="2">E16+1</f>
        <v>2</v>
      </c>
      <c r="F17" s="4"/>
    </row>
    <row r="18" spans="1:6" ht="28.8" x14ac:dyDescent="0.55000000000000004">
      <c r="A18" s="2">
        <f t="shared" si="0"/>
        <v>16</v>
      </c>
      <c r="B18" s="4" t="s">
        <v>35</v>
      </c>
      <c r="C18" s="20">
        <f t="shared" si="0"/>
        <v>33</v>
      </c>
      <c r="D18" s="22" t="s">
        <v>45</v>
      </c>
      <c r="E18" s="8">
        <f t="shared" si="2"/>
        <v>3</v>
      </c>
      <c r="F18" s="4"/>
    </row>
    <row r="19" spans="1:6" ht="28.8" x14ac:dyDescent="0.55000000000000004">
      <c r="A19" s="2">
        <f>A18+1</f>
        <v>17</v>
      </c>
      <c r="B19" s="5" t="s">
        <v>47</v>
      </c>
      <c r="C19" s="2">
        <f t="shared" si="0"/>
        <v>34</v>
      </c>
      <c r="D19" s="21" t="s">
        <v>61</v>
      </c>
      <c r="E19" s="8">
        <f t="shared" si="2"/>
        <v>4</v>
      </c>
      <c r="F19" s="4"/>
    </row>
    <row r="20" spans="1:6" x14ac:dyDescent="0.3">
      <c r="A20" s="15"/>
      <c r="F20" s="18"/>
    </row>
    <row r="21" spans="1:6" ht="28.8" x14ac:dyDescent="0.55000000000000004">
      <c r="A21" s="53" t="s">
        <v>46</v>
      </c>
      <c r="B21" s="49"/>
      <c r="C21" s="49"/>
      <c r="D21" s="49" t="s">
        <v>62</v>
      </c>
      <c r="E21" s="49"/>
      <c r="F21" s="50"/>
    </row>
    <row r="22" spans="1:6" ht="30" customHeight="1" x14ac:dyDescent="0.3">
      <c r="A22" s="54">
        <f>MAX(A3:A19,C3:C19,E3:E19)</f>
        <v>46</v>
      </c>
      <c r="B22" s="55"/>
      <c r="C22" s="55"/>
      <c r="D22" s="51">
        <f>COUNTA(K8:P13)</f>
        <v>36</v>
      </c>
      <c r="E22" s="51"/>
      <c r="F22" s="52"/>
    </row>
    <row r="23" spans="1:6" ht="30" customHeight="1" x14ac:dyDescent="0.3">
      <c r="A23" s="56"/>
      <c r="B23" s="55"/>
      <c r="C23" s="55"/>
      <c r="D23" s="51"/>
      <c r="E23" s="51"/>
      <c r="F23" s="52"/>
    </row>
    <row r="24" spans="1:6" x14ac:dyDescent="0.3">
      <c r="A24" s="43"/>
      <c r="B24" s="44"/>
      <c r="C24" s="44"/>
      <c r="D24" s="44"/>
      <c r="E24" s="44"/>
      <c r="F24" s="45"/>
    </row>
    <row r="25" spans="1:6" x14ac:dyDescent="0.3">
      <c r="A25" s="43"/>
      <c r="B25" s="44"/>
      <c r="C25" s="44"/>
      <c r="D25" s="44"/>
      <c r="E25" s="44"/>
      <c r="F25" s="45"/>
    </row>
    <row r="26" spans="1:6" x14ac:dyDescent="0.3">
      <c r="A26" s="43"/>
      <c r="B26" s="44"/>
      <c r="C26" s="44"/>
      <c r="D26" s="44"/>
      <c r="E26" s="44"/>
      <c r="F26" s="45"/>
    </row>
    <row r="27" spans="1:6" x14ac:dyDescent="0.3">
      <c r="A27" s="43"/>
      <c r="B27" s="44"/>
      <c r="C27" s="44"/>
      <c r="D27" s="44"/>
      <c r="E27" s="44"/>
      <c r="F27" s="45"/>
    </row>
    <row r="28" spans="1:6" x14ac:dyDescent="0.3">
      <c r="A28" s="43"/>
      <c r="B28" s="44"/>
      <c r="C28" s="44"/>
      <c r="D28" s="44"/>
      <c r="E28" s="44"/>
      <c r="F28" s="45"/>
    </row>
    <row r="29" spans="1:6" x14ac:dyDescent="0.3">
      <c r="A29" s="43"/>
      <c r="B29" s="44"/>
      <c r="C29" s="44"/>
      <c r="D29" s="44"/>
      <c r="E29" s="44"/>
      <c r="F29" s="45"/>
    </row>
    <row r="30" spans="1:6" ht="24.6" customHeight="1" x14ac:dyDescent="0.3">
      <c r="A30" s="43"/>
      <c r="B30" s="44"/>
      <c r="C30" s="44"/>
      <c r="D30" s="44"/>
      <c r="E30" s="44"/>
      <c r="F30" s="45"/>
    </row>
    <row r="31" spans="1:6" ht="65.400000000000006" customHeight="1" x14ac:dyDescent="0.3">
      <c r="A31" s="46"/>
      <c r="B31" s="47"/>
      <c r="C31" s="47"/>
      <c r="D31" s="47"/>
      <c r="E31" s="47"/>
      <c r="F31" s="48"/>
    </row>
  </sheetData>
  <mergeCells count="10">
    <mergeCell ref="J6:P6"/>
    <mergeCell ref="E15:F15"/>
    <mergeCell ref="A2:D2"/>
    <mergeCell ref="A1:F1"/>
    <mergeCell ref="A24:F31"/>
    <mergeCell ref="E2:F2"/>
    <mergeCell ref="D21:F21"/>
    <mergeCell ref="D22:F23"/>
    <mergeCell ref="A21:C21"/>
    <mergeCell ref="A22:C23"/>
  </mergeCells>
  <phoneticPr fontId="5" type="noConversion"/>
  <conditionalFormatting sqref="E2 F3:F14 B3:D19 E15 F16:F19 B20:F20 A21:A22 A24 C32">
    <cfRule type="expression" dxfId="1" priority="13">
      <formula>COUNTIF($K$8:$P$14,A2)&gt;0</formula>
    </cfRule>
  </conditionalFormatting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4" id="{00000000-000E-0000-0000-000004000000}">
            <xm:f>COUNTIF(LISTA!$B$3:$I$9,A2)&gt;0</xm:f>
            <x14:dxf>
              <fill>
                <patternFill>
                  <bgColor theme="3" tint="0.499984740745262"/>
                </patternFill>
              </fill>
            </x14:dxf>
          </x14:cfRule>
          <xm:sqref>E2 F3:F14 B3:D19 E15 F16:F19 B20:F20 A21:A22 A24 C32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EEC62B-1BAF-4A76-96B8-B552F16D995C}">
  <dimension ref="A1:I10"/>
  <sheetViews>
    <sheetView workbookViewId="0">
      <selection activeCell="B4" sqref="B4"/>
    </sheetView>
  </sheetViews>
  <sheetFormatPr baseColWidth="10" defaultRowHeight="14.4" x14ac:dyDescent="0.3"/>
  <cols>
    <col min="1" max="1" width="13.5546875" bestFit="1" customWidth="1"/>
    <col min="2" max="9" width="17.109375" bestFit="1" customWidth="1"/>
  </cols>
  <sheetData>
    <row r="1" spans="1:9" ht="34.200000000000003" thickBot="1" x14ac:dyDescent="0.35">
      <c r="A1" s="57" t="s">
        <v>55</v>
      </c>
      <c r="B1" s="58"/>
      <c r="C1" s="58"/>
      <c r="D1" s="58"/>
      <c r="E1" s="58"/>
      <c r="F1" s="58"/>
      <c r="G1" s="58"/>
      <c r="H1" s="58"/>
      <c r="I1" s="59"/>
    </row>
    <row r="2" spans="1:9" ht="29.4" thickBot="1" x14ac:dyDescent="0.6">
      <c r="A2" s="13" t="s">
        <v>44</v>
      </c>
      <c r="B2" s="11" t="s">
        <v>0</v>
      </c>
      <c r="C2" s="11" t="s">
        <v>3</v>
      </c>
      <c r="D2" s="11" t="s">
        <v>1</v>
      </c>
      <c r="E2" s="11" t="s">
        <v>2</v>
      </c>
      <c r="F2" s="11" t="s">
        <v>48</v>
      </c>
      <c r="G2" s="11" t="s">
        <v>49</v>
      </c>
      <c r="H2" s="11" t="s">
        <v>50</v>
      </c>
      <c r="I2" s="11" t="s">
        <v>51</v>
      </c>
    </row>
    <row r="3" spans="1:9" ht="30" thickTop="1" thickBot="1" x14ac:dyDescent="0.6">
      <c r="A3" s="11">
        <v>1</v>
      </c>
      <c r="B3" s="7" t="s">
        <v>6</v>
      </c>
      <c r="C3" s="7"/>
      <c r="D3" s="7"/>
      <c r="E3" s="7"/>
      <c r="F3" s="7"/>
      <c r="G3" s="7"/>
      <c r="H3" s="7"/>
      <c r="I3" s="7"/>
    </row>
    <row r="4" spans="1:9" ht="30" thickTop="1" thickBot="1" x14ac:dyDescent="0.6">
      <c r="A4" s="1">
        <v>2</v>
      </c>
      <c r="B4" s="7"/>
      <c r="C4" s="7"/>
      <c r="D4" s="7"/>
      <c r="E4" s="7"/>
      <c r="F4" s="10"/>
      <c r="G4" s="10"/>
      <c r="H4" s="10"/>
      <c r="I4" s="10"/>
    </row>
    <row r="5" spans="1:9" ht="30" thickTop="1" thickBot="1" x14ac:dyDescent="0.6">
      <c r="A5" s="1">
        <v>3</v>
      </c>
      <c r="B5" s="7"/>
      <c r="C5" s="7"/>
      <c r="D5" s="7"/>
      <c r="E5" s="7"/>
      <c r="F5" s="10"/>
      <c r="G5" s="10"/>
      <c r="H5" s="10"/>
      <c r="I5" s="10"/>
    </row>
    <row r="6" spans="1:9" ht="30" thickTop="1" thickBot="1" x14ac:dyDescent="0.6">
      <c r="A6" s="1">
        <v>4</v>
      </c>
      <c r="B6" s="7"/>
      <c r="C6" s="7"/>
      <c r="D6" s="7"/>
      <c r="E6" s="7"/>
      <c r="F6" s="10"/>
      <c r="G6" s="10"/>
      <c r="H6" s="10"/>
      <c r="I6" s="10"/>
    </row>
    <row r="7" spans="1:9" ht="30" thickTop="1" thickBot="1" x14ac:dyDescent="0.6">
      <c r="A7" s="1">
        <v>5</v>
      </c>
      <c r="B7" s="7"/>
      <c r="C7" s="7"/>
      <c r="D7" s="7"/>
      <c r="E7" s="7"/>
      <c r="F7" s="10"/>
      <c r="G7" s="10"/>
      <c r="H7" s="10"/>
      <c r="I7" s="10"/>
    </row>
    <row r="8" spans="1:9" ht="30" thickTop="1" thickBot="1" x14ac:dyDescent="0.6">
      <c r="A8" s="1">
        <v>6</v>
      </c>
      <c r="B8" s="7"/>
      <c r="C8" s="7"/>
      <c r="D8" s="7"/>
      <c r="E8" s="7"/>
      <c r="F8" s="10"/>
      <c r="G8" s="10"/>
      <c r="H8" s="10"/>
      <c r="I8" s="10"/>
    </row>
    <row r="9" spans="1:9" ht="30" thickTop="1" thickBot="1" x14ac:dyDescent="0.6">
      <c r="A9" s="9" t="s">
        <v>4</v>
      </c>
      <c r="B9" s="14"/>
      <c r="C9" s="14"/>
      <c r="D9" s="14"/>
      <c r="E9" s="14"/>
      <c r="F9" s="14"/>
      <c r="G9" s="14"/>
      <c r="H9" s="14"/>
      <c r="I9" s="14"/>
    </row>
    <row r="10" spans="1:9" ht="15" thickTop="1" x14ac:dyDescent="0.3"/>
  </sheetData>
  <mergeCells count="1">
    <mergeCell ref="A1:I1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5D604E6-9A6F-4D46-B5A9-56DFD0F5935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SORTEO CORAZÓN LATINO V</vt:lpstr>
      <vt:lpstr>LISTA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verbel diaz</dc:creator>
  <cp:lastModifiedBy>jorge verbel diaz</cp:lastModifiedBy>
  <dcterms:created xsi:type="dcterms:W3CDTF">2025-10-25T12:14:04Z</dcterms:created>
  <dcterms:modified xsi:type="dcterms:W3CDTF">2025-12-28T10:47:28Z</dcterms:modified>
</cp:coreProperties>
</file>